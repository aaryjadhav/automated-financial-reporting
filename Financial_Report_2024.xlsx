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ry\Documents\Automation Financial System\"/>
    </mc:Choice>
  </mc:AlternateContent>
  <bookViews>
    <workbookView xWindow="0" yWindow="0" windowWidth="28800" windowHeight="11580"/>
  </bookViews>
  <sheets>
    <sheet name="Monthly P&amp;L" sheetId="1" r:id="rId1"/>
    <sheet name="Regional Breakdown" sheetId="2" r:id="rId2"/>
    <sheet name="Expense Breakdown" sheetId="3" r:id="rId3"/>
  </sheets>
  <calcPr calcId="0"/>
</workbook>
</file>

<file path=xl/sharedStrings.xml><?xml version="1.0" encoding="utf-8"?>
<sst xmlns="http://schemas.openxmlformats.org/spreadsheetml/2006/main" count="41" uniqueCount="40">
  <si>
    <t>MONTHLY PROFIT &amp; LOSS — FY 2024</t>
  </si>
  <si>
    <t>Month</t>
  </si>
  <si>
    <t>Revenue ($)</t>
  </si>
  <si>
    <t>COGS ($)</t>
  </si>
  <si>
    <t>Gross Profit ($)</t>
  </si>
  <si>
    <t>Total Expenses ($)</t>
  </si>
  <si>
    <t>Net Income ($)</t>
  </si>
  <si>
    <t>Gross Margin</t>
  </si>
  <si>
    <t>Net Margin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</si>
  <si>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</si>
  <si>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</si>
  <si>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</si>
  <si>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</si>
  <si>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</si>
  <si>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</si>
  <si>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</si>
  <si>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</si>
  <si>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</si>
  <si>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</si>
  <si>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</si>
  <si>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</si>
  <si>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FULL YEAR</t>
  </si>
  <si>
    <t>REGIONAL SALES BREAKDOWN — FY 2024</t>
  </si>
  <si>
    <t>Region</t>
  </si>
  <si>
    <t>Units Sold</t>
  </si>
  <si>
    <t>Net Revenue ($)</t>
  </si>
  <si>
    <t>Returns</t>
  </si>
  <si>
    <t>East</t>
  </si>
  <si>
    <t>North</t>
  </si>
  <si>
    <t>South</t>
  </si>
  <si>
    <t>West</t>
  </si>
  <si>
    <t>EXPENSE BREAKDOWN — FY 2024</t>
  </si>
  <si>
    <t>Category</t>
  </si>
  <si>
    <t>Annual Total ($)</t>
  </si>
  <si>
    <t>% of Total</t>
  </si>
  <si>
    <t>Cogs</t>
  </si>
  <si>
    <t>Marketing</t>
  </si>
  <si>
    <t>Opex</t>
  </si>
  <si>
    <t>Salaries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</si>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</sst>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-#,##0;&quot;-&quot;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vs Net Income</a:t>
            </a:r>
          </a:p>
        </c:rich>
      </c:tx>
      <c:layout>
        <c:manualLayout>
          <c:xMode val="edge"/>
          <c:yMode val="edge"/>
          <c:x val="0.39615104166666665"/>
          <c:y val="3.8217592592592595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P&amp;L'!$C$4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'Monthly P&amp;L'!$B$5:$B$16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'Monthly P&amp;L'!$C$5:$C$16</c:f>
              <c:numCache>
                <c:formatCode>#,##0;\-#,##0;"-"</c:formatCode>
                <c:ptCount val="12"/>
                <c:pt idx="0">
                  <c:v>437600</c:v>
                </c:pt>
                <c:pt idx="1">
                  <c:v>353500</c:v>
                </c:pt>
                <c:pt idx="2">
                  <c:v>436000</c:v>
                </c:pt>
                <c:pt idx="3">
                  <c:v>453900</c:v>
                </c:pt>
                <c:pt idx="4">
                  <c:v>442800</c:v>
                </c:pt>
                <c:pt idx="5">
                  <c:v>442300</c:v>
                </c:pt>
                <c:pt idx="6">
                  <c:v>482300</c:v>
                </c:pt>
                <c:pt idx="7">
                  <c:v>441700</c:v>
                </c:pt>
                <c:pt idx="8">
                  <c:v>494300</c:v>
                </c:pt>
                <c:pt idx="9">
                  <c:v>468500</c:v>
                </c:pt>
                <c:pt idx="10">
                  <c:v>513200</c:v>
                </c:pt>
                <c:pt idx="11">
                  <c:v>500500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C-458D-A61A-A6809B63A6D4}"/>
            </c:ext>
          </c:extLst>
        </c:ser>
        <c:ser>
          <c:idx val="1"/>
          <c:order val="1"/>
          <c:tx>
            <c:strRef>
              <c:f>'Monthly P&amp;L'!$G$4</c:f>
              <c:strCache>
                <c:ptCount val="1"/>
                <c:pt idx="0">
                  <c:v>Net Income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'Monthly P&amp;L'!$B$5:$B$16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'Monthly P&amp;L'!$G$5:$G$16</c:f>
              <c:numCache>
                <c:formatCode>#,##0;\-#,##0;"-"</c:formatCode>
                <c:ptCount val="12"/>
                <c:pt idx="0">
                  <c:v>-212600</c:v>
                </c:pt>
                <c:pt idx="1">
                  <c:v>-266900</c:v>
                </c:pt>
                <c:pt idx="2">
                  <c:v>-235700</c:v>
                </c:pt>
                <c:pt idx="3">
                  <c:v>-178400</c:v>
                </c:pt>
                <c:pt idx="4">
                  <c:v>-232800</c:v>
                </c:pt>
                <c:pt idx="5">
                  <c:v>-229800</c:v>
                </c:pt>
                <c:pt idx="6">
                  <c:v>-172000</c:v>
                </c:pt>
                <c:pt idx="7">
                  <c:v>-233100</c:v>
                </c:pt>
                <c:pt idx="8">
                  <c:v>-178200</c:v>
                </c:pt>
                <c:pt idx="9">
                  <c:v>-243100</c:v>
                </c:pt>
                <c:pt idx="10">
                  <c:v>-196700</c:v>
                </c:pt>
                <c:pt idx="11">
                  <c:v>-227700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C-458D-A61A-A6809B63A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1.5639467592592628E-2"/>
          <c:y val="2.6446064814814849E-2"/>
          <c:w val="0.1141525462962963"/>
          <c:h val="0.1063208333333333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layout>
        <c:manualLayout>
          <c:xMode val="edge"/>
          <c:yMode val="edge"/>
          <c:x val="0.42466874999999998"/>
          <c:y val="3.8217592592592595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'Regional Breakdown'!$C$4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'Regional Breakdown'!$B$5:$B$8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Breakdown'!$C$5:$C$8</c:f>
              <c:numCache>
                <c:formatCode>#,##0;\-#,##0;"-"</c:formatCode>
                <c:ptCount val="4"/>
                <c:pt idx="0">
                  <c:v>1254200</c:v>
                </c:pt>
                <c:pt idx="1">
                  <c:v>1437700</c:v>
                </c:pt>
                <c:pt idx="2">
                  <c:v>1366200</c:v>
                </c:pt>
                <c:pt idx="3">
                  <c:v>1408500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6-4249-917C-2051A754D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864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720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B1:I17"/>
  <sheetViews>
    <sheetView showGridLines="0" tabSelected="1" workbookViewId="0">
      <selection activeCell="A25" sqref="A25"/>
    </sheetView>
  </sheetViews>
  <sheetFormatPr defaultRowHeight="15" x14ac:dyDescent="0.25"/>
  <cols>
    <col min="2" max="2" width="14" customWidth="1"/>
    <col min="3" max="6" width="16" customWidth="1"/>
    <col min="7" max="8" width="13" customWidth="1"/>
  </cols>
  <sheetData>
    <row r="1" spans="2:9" x14ac:dyDescent="0.25">
      <c r="B1" s="11" t="s">
        <v>0</v>
      </c>
      <c r="C1" s="12"/>
      <c r="D1" s="12"/>
      <c r="E1" s="12"/>
      <c r="F1" s="12"/>
      <c r="G1" s="12"/>
      <c r="H1" s="12"/>
    </row>
    <row r="2" spans="2:9" x14ac:dyDescent="0.25">
      <c r="B2" s="12"/>
      <c r="C2" s="12"/>
      <c r="D2" s="12"/>
      <c r="E2" s="12"/>
      <c r="F2" s="12"/>
      <c r="G2" s="12"/>
      <c r="H2" s="12"/>
    </row>
    <row r="4" spans="2:9" ht="30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2:9" x14ac:dyDescent="0.25">
      <c r="B5" s="2" t="s">
        <v>9</v>
      </c>
      <c r="C5" s="3">
        <v>437600</v>
      </c>
      <c r="D5" s="3">
        <v>185000</v>
      </c>
      <c r="E5" s="3">
        <v>252600</v>
      </c>
      <c r="F5" s="3">
        <v>650200</v>
      </c>
      <c r="G5" s="3">
        <v>-212600</v>
      </c>
      <c r="H5" s="4">
        <v>0.57723948811700188</v>
      </c>
      <c r="I5" s="4">
        <v>-0.48583180987202917</v>
      </c>
    </row>
    <row r="6" spans="2:9" x14ac:dyDescent="0.25">
      <c r="B6" s="5" t="s">
        <v>10</v>
      </c>
      <c r="C6" s="6">
        <v>353500</v>
      </c>
      <c r="D6" s="6">
        <v>172000</v>
      </c>
      <c r="E6" s="6">
        <v>181500</v>
      </c>
      <c r="F6" s="6">
        <v>620400</v>
      </c>
      <c r="G6" s="6">
        <v>-266900</v>
      </c>
      <c r="H6" s="7">
        <v>0.5134370579915134</v>
      </c>
      <c r="I6" s="7">
        <v>-0.75502121640735498</v>
      </c>
    </row>
    <row r="7" spans="2:9" x14ac:dyDescent="0.25">
      <c r="B7" s="2" t="s">
        <v>11</v>
      </c>
      <c r="C7" s="3">
        <v>436000</v>
      </c>
      <c r="D7" s="3">
        <v>195000</v>
      </c>
      <c r="E7" s="3">
        <v>241000</v>
      </c>
      <c r="F7" s="3">
        <v>671700</v>
      </c>
      <c r="G7" s="3">
        <v>-235700</v>
      </c>
      <c r="H7" s="4">
        <v>0.55275229357798161</v>
      </c>
      <c r="I7" s="4">
        <v>-0.54059633027522935</v>
      </c>
    </row>
    <row r="8" spans="2:9" x14ac:dyDescent="0.25">
      <c r="B8" s="5" t="s">
        <v>12</v>
      </c>
      <c r="C8" s="6">
        <v>453900</v>
      </c>
      <c r="D8" s="6">
        <v>180000</v>
      </c>
      <c r="E8" s="6">
        <v>273900</v>
      </c>
      <c r="F8" s="6">
        <v>632300</v>
      </c>
      <c r="G8" s="6">
        <v>-178400</v>
      </c>
      <c r="H8" s="7">
        <v>0.60343688037012555</v>
      </c>
      <c r="I8" s="7">
        <v>-0.39303811412205331</v>
      </c>
    </row>
    <row r="9" spans="2:9" x14ac:dyDescent="0.25">
      <c r="B9" s="2" t="s">
        <v>13</v>
      </c>
      <c r="C9" s="3">
        <v>442800</v>
      </c>
      <c r="D9" s="3">
        <v>198000</v>
      </c>
      <c r="E9" s="3">
        <v>244800</v>
      </c>
      <c r="F9" s="3">
        <v>675600</v>
      </c>
      <c r="G9" s="3">
        <v>-232800</v>
      </c>
      <c r="H9" s="4">
        <v>0.55284552845528456</v>
      </c>
      <c r="I9" s="4">
        <v>-0.5257452574525745</v>
      </c>
    </row>
    <row r="10" spans="2:9" x14ac:dyDescent="0.25">
      <c r="B10" s="5" t="s">
        <v>14</v>
      </c>
      <c r="C10" s="6">
        <v>442300</v>
      </c>
      <c r="D10" s="6">
        <v>205000</v>
      </c>
      <c r="E10" s="6">
        <v>237300</v>
      </c>
      <c r="F10" s="6">
        <v>672100</v>
      </c>
      <c r="G10" s="6">
        <v>-229800</v>
      </c>
      <c r="H10" s="7">
        <v>0.53651367849875653</v>
      </c>
      <c r="I10" s="7">
        <v>-0.51955686185846706</v>
      </c>
    </row>
    <row r="11" spans="2:9" x14ac:dyDescent="0.25">
      <c r="B11" s="2" t="s">
        <v>15</v>
      </c>
      <c r="C11" s="3">
        <v>482300</v>
      </c>
      <c r="D11" s="3">
        <v>200000</v>
      </c>
      <c r="E11" s="3">
        <v>282300</v>
      </c>
      <c r="F11" s="3">
        <v>654300</v>
      </c>
      <c r="G11" s="3">
        <v>-172000</v>
      </c>
      <c r="H11" s="4">
        <v>0.58532034003732114</v>
      </c>
      <c r="I11" s="4">
        <v>-0.35662450756790381</v>
      </c>
    </row>
    <row r="12" spans="2:9" x14ac:dyDescent="0.25">
      <c r="B12" s="5" t="s">
        <v>16</v>
      </c>
      <c r="C12" s="6">
        <v>441700</v>
      </c>
      <c r="D12" s="6">
        <v>193000</v>
      </c>
      <c r="E12" s="6">
        <v>248700</v>
      </c>
      <c r="F12" s="6">
        <v>674800</v>
      </c>
      <c r="G12" s="6">
        <v>-233100</v>
      </c>
      <c r="H12" s="7">
        <v>0.56305184514376272</v>
      </c>
      <c r="I12" s="7">
        <v>-0.52773375594294769</v>
      </c>
    </row>
    <row r="13" spans="2:9" x14ac:dyDescent="0.25">
      <c r="B13" s="2" t="s">
        <v>17</v>
      </c>
      <c r="C13" s="3">
        <v>494300</v>
      </c>
      <c r="D13" s="3">
        <v>208000</v>
      </c>
      <c r="E13" s="3">
        <v>286300</v>
      </c>
      <c r="F13" s="3">
        <v>672500</v>
      </c>
      <c r="G13" s="3">
        <v>-178200</v>
      </c>
      <c r="H13" s="4">
        <v>0.5792029132106008</v>
      </c>
      <c r="I13" s="4">
        <v>-0.36050981185514869</v>
      </c>
    </row>
    <row r="14" spans="2:9" x14ac:dyDescent="0.25">
      <c r="B14" s="5" t="s">
        <v>18</v>
      </c>
      <c r="C14" s="6">
        <v>468500</v>
      </c>
      <c r="D14" s="6">
        <v>215000</v>
      </c>
      <c r="E14" s="6">
        <v>253500</v>
      </c>
      <c r="F14" s="6">
        <v>711600</v>
      </c>
      <c r="G14" s="6">
        <v>-243100</v>
      </c>
      <c r="H14" s="7">
        <v>0.54108858057630738</v>
      </c>
      <c r="I14" s="7">
        <v>-0.51889007470651016</v>
      </c>
    </row>
    <row r="15" spans="2:9" x14ac:dyDescent="0.25">
      <c r="B15" s="2" t="s">
        <v>19</v>
      </c>
      <c r="C15" s="3">
        <v>513200</v>
      </c>
      <c r="D15" s="3">
        <v>228000</v>
      </c>
      <c r="E15" s="3">
        <v>285200</v>
      </c>
      <c r="F15" s="3">
        <v>709900</v>
      </c>
      <c r="G15" s="3">
        <v>-196700</v>
      </c>
      <c r="H15" s="4">
        <v>0.55572876071706934</v>
      </c>
      <c r="I15" s="4">
        <v>-0.3832813717848792</v>
      </c>
    </row>
    <row r="16" spans="2:9" x14ac:dyDescent="0.25">
      <c r="B16" s="5" t="s">
        <v>20</v>
      </c>
      <c r="C16" s="6">
        <v>500500</v>
      </c>
      <c r="D16" s="6">
        <v>221000</v>
      </c>
      <c r="E16" s="6">
        <v>279500</v>
      </c>
      <c r="F16" s="6">
        <v>728200</v>
      </c>
      <c r="G16" s="6">
        <v>-227700</v>
      </c>
      <c r="H16" s="7">
        <v>0.55844155844155841</v>
      </c>
      <c r="I16" s="7">
        <v>-0.45494505494505488</v>
      </c>
    </row>
    <row r="17" spans="2:9" x14ac:dyDescent="0.25">
      <c r="B17" s="8" t="s">
        <v>21</v>
      </c>
      <c r="C17" s="9">
        <v>5466600</v>
      </c>
      <c r="D17" s="9">
        <v>2400000</v>
      </c>
      <c r="E17" s="9">
        <v>3066600</v>
      </c>
      <c r="F17" s="9">
        <v>8073600</v>
      </c>
      <c r="G17" s="9">
        <v>-2607000</v>
      </c>
      <c r="H17" s="10">
        <v>0.55992157709477353</v>
      </c>
      <c r="I17" s="10">
        <v>-0.48514784723251281</v>
      </c>
    </row>
  </sheetData>
  <mergeCells count="1">
    <mergeCell ref="B1:H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B1:F8"/>
  <sheetViews>
    <sheetView showGridLines="0" workbookViewId="0">
      <selection activeCell="M19" sqref="M19"/>
    </sheetView>
  </sheetViews>
  <sheetFormatPr defaultRowHeight="15" x14ac:dyDescent="0.25"/>
  <cols>
    <col min="2" max="2" width="16" customWidth="1"/>
    <col min="3" max="3" width="18" customWidth="1"/>
    <col min="4" max="4" width="14" customWidth="1"/>
    <col min="5" max="5" width="18" customWidth="1"/>
    <col min="6" max="6" width="13" customWidth="1"/>
  </cols>
  <sheetData>
    <row r="1" spans="2:6" x14ac:dyDescent="0.25">
      <c r="B1" s="11" t="s">
        <v>22</v>
      </c>
      <c r="C1" s="12"/>
      <c r="D1" s="12"/>
      <c r="E1" s="12"/>
      <c r="F1" s="12"/>
    </row>
    <row r="2" spans="2:6" x14ac:dyDescent="0.25">
      <c r="B2" s="12"/>
      <c r="C2" s="12"/>
      <c r="D2" s="12"/>
      <c r="E2" s="12"/>
      <c r="F2" s="12"/>
    </row>
    <row r="4" spans="2:6" x14ac:dyDescent="0.25">
      <c r="B4" s="1" t="s">
        <v>23</v>
      </c>
      <c r="C4" s="1" t="s">
        <v>2</v>
      </c>
      <c r="D4" s="1" t="s">
        <v>24</v>
      </c>
      <c r="E4" s="1" t="s">
        <v>25</v>
      </c>
      <c r="F4" s="1" t="s">
        <v>26</v>
      </c>
    </row>
    <row r="5" spans="2:6" x14ac:dyDescent="0.25">
      <c r="B5" s="2" t="s">
        <v>27</v>
      </c>
      <c r="C5" s="3">
        <v>1254200</v>
      </c>
      <c r="D5" s="3">
        <v>11580</v>
      </c>
      <c r="E5" s="3">
        <v>1228123.6053938139</v>
      </c>
      <c r="F5" s="3">
        <v>241</v>
      </c>
    </row>
    <row r="6" spans="2:6" x14ac:dyDescent="0.25">
      <c r="B6" s="5" t="s">
        <v>28</v>
      </c>
      <c r="C6" s="6">
        <v>1437700</v>
      </c>
      <c r="D6" s="6">
        <v>13332</v>
      </c>
      <c r="E6" s="6">
        <v>1407519.6168214581</v>
      </c>
      <c r="F6" s="6">
        <v>280</v>
      </c>
    </row>
    <row r="7" spans="2:6" x14ac:dyDescent="0.25">
      <c r="B7" s="2" t="s">
        <v>29</v>
      </c>
      <c r="C7" s="3">
        <v>1366200</v>
      </c>
      <c r="D7" s="3">
        <v>12605</v>
      </c>
      <c r="E7" s="3">
        <v>1343260.8792726309</v>
      </c>
      <c r="F7" s="3">
        <v>213</v>
      </c>
    </row>
    <row r="8" spans="2:6" x14ac:dyDescent="0.25">
      <c r="B8" s="5" t="s">
        <v>30</v>
      </c>
      <c r="C8" s="6">
        <v>1408500</v>
      </c>
      <c r="D8" s="6">
        <v>13095</v>
      </c>
      <c r="E8" s="6">
        <v>1389819.6269920119</v>
      </c>
      <c r="F8" s="6">
        <v>173</v>
      </c>
    </row>
  </sheetData>
  <mergeCells count="1">
    <mergeCell ref="B1:F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B1:D9"/>
  <sheetViews>
    <sheetView showGridLines="0" workbookViewId="0"/>
  </sheetViews>
  <sheetFormatPr defaultRowHeight="15" x14ac:dyDescent="0.25"/>
  <cols>
    <col min="2" max="2" width="20" customWidth="1"/>
    <col min="3" max="3" width="18" customWidth="1"/>
    <col min="4" max="4" width="12" customWidth="1"/>
  </cols>
  <sheetData>
    <row r="1" spans="2:4" x14ac:dyDescent="0.25">
      <c r="B1" s="11" t="s">
        <v>31</v>
      </c>
      <c r="C1" s="12"/>
      <c r="D1" s="12"/>
    </row>
    <row r="2" spans="2:4" x14ac:dyDescent="0.25">
      <c r="B2" s="12"/>
      <c r="C2" s="12"/>
      <c r="D2" s="12"/>
    </row>
    <row r="4" spans="2:4" x14ac:dyDescent="0.25">
      <c r="B4" s="1" t="s">
        <v>32</v>
      </c>
      <c r="C4" s="1" t="s">
        <v>33</v>
      </c>
      <c r="D4" s="1" t="s">
        <v>34</v>
      </c>
    </row>
    <row r="5" spans="2:4" x14ac:dyDescent="0.25">
      <c r="B5" s="2" t="s">
        <v>35</v>
      </c>
      <c r="C5" s="3">
        <v>2400000</v>
      </c>
      <c r="D5" s="4">
        <v>0.29726516052318669</v>
      </c>
    </row>
    <row r="6" spans="2:4" x14ac:dyDescent="0.25">
      <c r="B6" s="5" t="s">
        <v>36</v>
      </c>
      <c r="C6" s="6">
        <v>549500</v>
      </c>
      <c r="D6" s="7">
        <v>6.8061335711454618E-2</v>
      </c>
    </row>
    <row r="7" spans="2:4" x14ac:dyDescent="0.25">
      <c r="B7" s="2" t="s">
        <v>37</v>
      </c>
      <c r="C7" s="3">
        <v>464100</v>
      </c>
      <c r="D7" s="4">
        <v>5.7483650416171227E-2</v>
      </c>
    </row>
    <row r="8" spans="2:4" x14ac:dyDescent="0.25">
      <c r="B8" s="5" t="s">
        <v>38</v>
      </c>
      <c r="C8" s="6">
        <v>4660000</v>
      </c>
      <c r="D8" s="7">
        <v>0.57718985334918749</v>
      </c>
    </row>
    <row r="9" spans="2:4" x14ac:dyDescent="0.25">
      <c r="B9" s="8" t="s">
        <v>39</v>
      </c>
      <c r="C9" s="9">
        <v>8073600</v>
      </c>
      <c r="D9" s="10">
        <v>1</v>
      </c>
    </row>
  </sheetData>
  <mergeCells count="1">
    <mergeCell ref="B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P&amp;L</vt:lpstr>
      <vt:lpstr>Regional Breakdown</vt:lpstr>
      <vt:lpstr>Expense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</cp:lastModifiedBy>
  <dcterms:created xsi:type="dcterms:W3CDTF">2026-03-23T09:14:20Z</dcterms:created>
  <dcterms:modified xsi:type="dcterms:W3CDTF">2026-03-23T09:15:18Z</dcterms:modified>
</cp:coreProperties>
</file>